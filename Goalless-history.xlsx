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wit-my.sharepoint.com/personal/trym_sigurdsen_knowit_no/Documents/AI-agenter/Nettside/goalless-tracker/"/>
    </mc:Choice>
  </mc:AlternateContent>
  <xr:revisionPtr revIDLastSave="0" documentId="8_{D7FED91D-D6CB-4615-8777-6E98513ADB19}" xr6:coauthVersionLast="47" xr6:coauthVersionMax="47" xr10:uidLastSave="{00000000-0000-0000-0000-000000000000}"/>
  <bookViews>
    <workbookView xWindow="-108" yWindow="-108" windowWidth="23256" windowHeight="12456" activeTab="2" xr2:uid="{91788ED2-E29E-429F-9509-3DB31F9A9FD1}"/>
  </bookViews>
  <sheets>
    <sheet name="Sheet3" sheetId="3" r:id="rId1"/>
    <sheet name="2025" sheetId="2" r:id="rId2"/>
    <sheet name="2026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D86" i="1"/>
  <c r="D84" i="1"/>
  <c r="D103" i="1" l="1"/>
  <c r="D83" i="1"/>
  <c r="D82" i="1" l="1"/>
  <c r="D81" i="1"/>
  <c r="D80" i="1"/>
  <c r="D79" i="1"/>
  <c r="D78" i="1"/>
  <c r="D77" i="1"/>
  <c r="D76" i="1"/>
  <c r="D75" i="1"/>
  <c r="D74" i="1"/>
  <c r="D73" i="1" l="1"/>
  <c r="D72" i="1"/>
  <c r="D71" i="1" l="1"/>
  <c r="D70" i="1" l="1"/>
  <c r="D69" i="1"/>
  <c r="D68" i="1" l="1"/>
  <c r="D67" i="1" l="1"/>
  <c r="D66" i="1"/>
  <c r="D65" i="1"/>
  <c r="D64" i="1" l="1"/>
  <c r="D63" i="1"/>
  <c r="D62" i="1"/>
  <c r="D61" i="1"/>
  <c r="D60" i="1"/>
  <c r="D59" i="1"/>
  <c r="D58" i="1"/>
  <c r="D57" i="1"/>
  <c r="D56" i="1"/>
  <c r="D55" i="1" l="1"/>
  <c r="D54" i="1"/>
  <c r="D53" i="1"/>
  <c r="D52" i="1"/>
  <c r="D51" i="1"/>
  <c r="D50" i="1"/>
  <c r="D49" i="1"/>
  <c r="D48" i="1" l="1"/>
  <c r="D47" i="1"/>
  <c r="D46" i="1" l="1"/>
  <c r="D44" i="1"/>
  <c r="D43" i="1" l="1"/>
  <c r="D42" i="1" l="1"/>
  <c r="D41" i="1"/>
  <c r="D40" i="1"/>
  <c r="D39" i="1"/>
  <c r="D38" i="1"/>
  <c r="D37" i="1"/>
  <c r="D36" i="1"/>
  <c r="D35" i="1"/>
  <c r="D34" i="1"/>
  <c r="D33" i="1" l="1"/>
  <c r="D32" i="1" l="1"/>
  <c r="D31" i="1"/>
  <c r="D30" i="1" l="1"/>
  <c r="D29" i="1"/>
  <c r="D28" i="1"/>
  <c r="D27" i="1"/>
  <c r="D26" i="1"/>
  <c r="D25" i="1" l="1"/>
  <c r="D24" i="1" l="1"/>
  <c r="D23" i="1"/>
  <c r="D22" i="1"/>
  <c r="D21" i="1" l="1"/>
  <c r="D20" i="1"/>
  <c r="D19" i="1" l="1"/>
  <c r="D18" i="1"/>
  <c r="D17" i="1"/>
  <c r="D16" i="1" l="1"/>
  <c r="D15" i="1"/>
  <c r="D14" i="1"/>
  <c r="D13" i="1"/>
  <c r="H104" i="1" l="1"/>
  <c r="I104" i="1" s="1"/>
  <c r="H103" i="1"/>
  <c r="I103" i="1" s="1"/>
  <c r="F104" i="1"/>
  <c r="G104" i="1" s="1"/>
  <c r="F103" i="1"/>
  <c r="G103" i="1" s="1"/>
  <c r="E104" i="1"/>
  <c r="E103" i="1"/>
  <c r="D104" i="1"/>
  <c r="N104" i="1" s="1"/>
  <c r="M104" i="1" s="1"/>
  <c r="N103" i="1"/>
  <c r="M103" i="1" s="1"/>
  <c r="H3" i="1"/>
  <c r="H3" i="2"/>
  <c r="D12" i="1"/>
  <c r="D11" i="1" l="1"/>
  <c r="D10" i="1"/>
  <c r="D9" i="1"/>
  <c r="E62" i="2" l="1"/>
  <c r="E61" i="2"/>
  <c r="G62" i="2"/>
  <c r="G61" i="2"/>
  <c r="F62" i="2"/>
  <c r="F61" i="2"/>
  <c r="D62" i="2"/>
  <c r="D61" i="2"/>
  <c r="D8" i="1"/>
  <c r="D7" i="1"/>
  <c r="B62" i="2"/>
  <c r="C62" i="2" s="1"/>
  <c r="B61" i="2"/>
  <c r="C61" i="2" s="1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7" i="2"/>
  <c r="C57" i="2"/>
  <c r="D6" i="2"/>
  <c r="D5" i="2"/>
  <c r="D4" i="2"/>
  <c r="D6" i="1"/>
  <c r="C100" i="1"/>
  <c r="B100" i="1"/>
  <c r="D4" i="1"/>
  <c r="D5" i="1"/>
  <c r="G105" i="1" l="1"/>
  <c r="B105" i="1"/>
  <c r="C105" i="1" s="1"/>
  <c r="B104" i="1"/>
  <c r="C104" i="1" s="1"/>
  <c r="B103" i="1"/>
  <c r="C103" i="1" s="1"/>
</calcChain>
</file>

<file path=xl/sharedStrings.xml><?xml version="1.0" encoding="utf-8"?>
<sst xmlns="http://schemas.openxmlformats.org/spreadsheetml/2006/main" count="122" uniqueCount="102">
  <si>
    <t>Nicolai</t>
  </si>
  <si>
    <t>Trym</t>
  </si>
  <si>
    <t>Vinner</t>
  </si>
  <si>
    <t>POENG</t>
  </si>
  <si>
    <t>TOT</t>
  </si>
  <si>
    <t>NICOLAI</t>
  </si>
  <si>
    <t>TRYM</t>
  </si>
  <si>
    <t>02.01</t>
  </si>
  <si>
    <t>05.01</t>
  </si>
  <si>
    <t>06.01</t>
  </si>
  <si>
    <t>Count of Vinner</t>
  </si>
  <si>
    <t>07.01</t>
  </si>
  <si>
    <t>08.01</t>
  </si>
  <si>
    <t>Average</t>
  </si>
  <si>
    <t>Max</t>
  </si>
  <si>
    <t>Min</t>
  </si>
  <si>
    <t>No. of daily wins</t>
  </si>
  <si>
    <t>Median</t>
  </si>
  <si>
    <t>09.01</t>
  </si>
  <si>
    <t>12.01</t>
  </si>
  <si>
    <t>13.01</t>
  </si>
  <si>
    <t>14.01</t>
  </si>
  <si>
    <t>No. Of games played</t>
  </si>
  <si>
    <t>% of games won</t>
  </si>
  <si>
    <t>Date</t>
  </si>
  <si>
    <t>16.01</t>
  </si>
  <si>
    <t>17.01</t>
  </si>
  <si>
    <t>19.01</t>
  </si>
  <si>
    <t>20.01</t>
  </si>
  <si>
    <t>21.01</t>
  </si>
  <si>
    <t>22.01</t>
  </si>
  <si>
    <t>23.01</t>
  </si>
  <si>
    <t>26.01</t>
  </si>
  <si>
    <t>27.01</t>
  </si>
  <si>
    <t>28.01</t>
  </si>
  <si>
    <t>29.01</t>
  </si>
  <si>
    <t>30.01</t>
  </si>
  <si>
    <t>02.02</t>
  </si>
  <si>
    <t>03.02</t>
  </si>
  <si>
    <t>04.02</t>
  </si>
  <si>
    <t>05.02</t>
  </si>
  <si>
    <t>06.02</t>
  </si>
  <si>
    <t>09.02</t>
  </si>
  <si>
    <t>10.02</t>
  </si>
  <si>
    <t>11.02</t>
  </si>
  <si>
    <t>12.02</t>
  </si>
  <si>
    <t>13.02</t>
  </si>
  <si>
    <t>16.02</t>
  </si>
  <si>
    <t>17.02</t>
  </si>
  <si>
    <t>18.02</t>
  </si>
  <si>
    <t>19.02</t>
  </si>
  <si>
    <t>20.02</t>
  </si>
  <si>
    <t>23.02</t>
  </si>
  <si>
    <t>24.02</t>
  </si>
  <si>
    <t>25.02</t>
  </si>
  <si>
    <t>26.02</t>
  </si>
  <si>
    <t>27.02</t>
  </si>
  <si>
    <t>U</t>
  </si>
  <si>
    <t>04.03</t>
  </si>
  <si>
    <t>03.03</t>
  </si>
  <si>
    <t>02.03</t>
  </si>
  <si>
    <t>05.03</t>
  </si>
  <si>
    <t>06.03</t>
  </si>
  <si>
    <t>09.03</t>
  </si>
  <si>
    <t>10.03</t>
  </si>
  <si>
    <t>11.03</t>
  </si>
  <si>
    <t>12.03</t>
  </si>
  <si>
    <t>13.03</t>
  </si>
  <si>
    <t>16.03</t>
  </si>
  <si>
    <t>17.03</t>
  </si>
  <si>
    <t>18.03</t>
  </si>
  <si>
    <t>19.03</t>
  </si>
  <si>
    <t>23.03</t>
  </si>
  <si>
    <t>20.03</t>
  </si>
  <si>
    <t>24.03</t>
  </si>
  <si>
    <t>25.03</t>
  </si>
  <si>
    <t>26.03</t>
  </si>
  <si>
    <t>27.03</t>
  </si>
  <si>
    <t>30.03</t>
  </si>
  <si>
    <t>31.03</t>
  </si>
  <si>
    <t>08.04</t>
  </si>
  <si>
    <t>09.04</t>
  </si>
  <si>
    <t>10.04</t>
  </si>
  <si>
    <t>13.04</t>
  </si>
  <si>
    <t>14.04</t>
  </si>
  <si>
    <t>15.04</t>
  </si>
  <si>
    <t>16.04</t>
  </si>
  <si>
    <t>17.04</t>
  </si>
  <si>
    <t>19.04</t>
  </si>
  <si>
    <t>20.04</t>
  </si>
  <si>
    <t>21.04</t>
  </si>
  <si>
    <t>22.04</t>
  </si>
  <si>
    <t>23.04</t>
  </si>
  <si>
    <t>24.04</t>
  </si>
  <si>
    <t>27.04</t>
  </si>
  <si>
    <t>28.04</t>
  </si>
  <si>
    <t>29.04</t>
  </si>
  <si>
    <t>Endring fra 2025</t>
  </si>
  <si>
    <t>Gj.snitt score 2025</t>
  </si>
  <si>
    <t>30.04</t>
  </si>
  <si>
    <t>04.05</t>
  </si>
  <si>
    <t>03.04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</si>
</sst>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/>
    </xf>
    <xf numFmtId="0" fontId="0" fillId="8" borderId="0" xfId="0" applyFill="1"/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4" fillId="9" borderId="0" xfId="0" applyFont="1" applyFill="1" applyAlignment="1">
      <alignment horizontal="center" wrapText="1"/>
    </xf>
    <xf numFmtId="0" fontId="5" fillId="9" borderId="0" xfId="0" applyFont="1" applyFill="1" applyAlignment="1">
      <alignment horizontal="center"/>
    </xf>
    <xf numFmtId="0" fontId="5" fillId="0" borderId="0" xfId="0" applyFont="1"/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9" fontId="5" fillId="10" borderId="0" xfId="1" applyFont="1" applyFill="1" applyAlignment="1">
      <alignment horizontal="center" vertical="center"/>
    </xf>
    <xf numFmtId="0" fontId="0" fillId="10" borderId="0" xfId="0" applyFill="1"/>
    <xf numFmtId="0" fontId="5" fillId="10" borderId="0" xfId="0" applyFont="1" applyFill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2" xfId="0" applyNumberFormat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[Goalless-history.xlsx]Sheet3!PivotTable9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Vinner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Sheet3!$A$4:$A$5</c:f>
              <c:strCache>
                <c:ptCount val="2"/>
                <c:pt idx="0">
                  <c:v>NICOLAI</c:v>
                </c:pt>
                <c:pt idx="1">
                  <c:v>TRYM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12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C-43A2-A6AB-D52C3F146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889232"/>
        <c:axId val="1592889712"/>
      </c:barChart>
      <c:catAx>
        <c:axId val="15928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89712"/>
        <c:crosses val="autoZero"/>
        <c:auto val="1"/>
        <c:lblAlgn val="ctr"/>
        <c:lblOffset val="100"/>
        <c:noMultiLvlLbl val="0"/>
      </c:catAx>
      <c:valAx>
        <c:axId val="15928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8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'2025'!$B$3</c:f>
              <c:strCache>
                <c:ptCount val="1"/>
                <c:pt idx="0">
                  <c:v>Nicolai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'2025'!$B$4:$B$55</c:f>
              <c:numCache>
                <c:formatCode>General</c:formatCode>
                <c:ptCount val="52"/>
                <c:pt idx="0">
                  <c:v>405</c:v>
                </c:pt>
                <c:pt idx="1">
                  <c:v>244</c:v>
                </c:pt>
                <c:pt idx="2">
                  <c:v>259</c:v>
                </c:pt>
                <c:pt idx="3">
                  <c:v>224</c:v>
                </c:pt>
                <c:pt idx="4">
                  <c:v>217</c:v>
                </c:pt>
                <c:pt idx="5">
                  <c:v>465</c:v>
                </c:pt>
                <c:pt idx="6">
                  <c:v>344</c:v>
                </c:pt>
                <c:pt idx="7">
                  <c:v>313</c:v>
                </c:pt>
                <c:pt idx="8">
                  <c:v>335</c:v>
                </c:pt>
                <c:pt idx="9">
                  <c:v>331</c:v>
                </c:pt>
                <c:pt idx="10">
                  <c:v>320</c:v>
                </c:pt>
                <c:pt idx="11">
                  <c:v>390</c:v>
                </c:pt>
                <c:pt idx="12">
                  <c:v>366</c:v>
                </c:pt>
                <c:pt idx="13">
                  <c:v>358</c:v>
                </c:pt>
                <c:pt idx="14">
                  <c:v>237</c:v>
                </c:pt>
                <c:pt idx="15">
                  <c:v>360</c:v>
                </c:pt>
                <c:pt idx="16">
                  <c:v>394</c:v>
                </c:pt>
                <c:pt idx="17">
                  <c:v>467</c:v>
                </c:pt>
                <c:pt idx="18">
                  <c:v>376</c:v>
                </c:pt>
                <c:pt idx="19">
                  <c:v>424</c:v>
                </c:pt>
                <c:pt idx="20">
                  <c:v>179</c:v>
                </c:pt>
                <c:pt idx="21">
                  <c:v>369</c:v>
                </c:pt>
                <c:pt idx="22">
                  <c:v>373</c:v>
                </c:pt>
                <c:pt idx="23">
                  <c:v>302</c:v>
                </c:pt>
                <c:pt idx="24">
                  <c:v>334</c:v>
                </c:pt>
                <c:pt idx="25">
                  <c:v>459</c:v>
                </c:pt>
                <c:pt idx="26">
                  <c:v>500</c:v>
                </c:pt>
                <c:pt idx="27">
                  <c:v>395</c:v>
                </c:pt>
                <c:pt idx="28">
                  <c:v>430</c:v>
                </c:pt>
                <c:pt idx="29">
                  <c:v>361</c:v>
                </c:pt>
                <c:pt idx="30">
                  <c:v>344</c:v>
                </c:pt>
                <c:pt idx="31">
                  <c:v>382</c:v>
                </c:pt>
                <c:pt idx="32">
                  <c:v>300</c:v>
                </c:pt>
                <c:pt idx="33">
                  <c:v>370</c:v>
                </c:pt>
                <c:pt idx="34">
                  <c:v>388</c:v>
                </c:pt>
                <c:pt idx="35">
                  <c:v>345</c:v>
                </c:pt>
                <c:pt idx="36">
                  <c:v>461</c:v>
                </c:pt>
                <c:pt idx="37">
                  <c:v>119</c:v>
                </c:pt>
                <c:pt idx="38">
                  <c:v>388</c:v>
                </c:pt>
                <c:pt idx="39">
                  <c:v>446</c:v>
                </c:pt>
                <c:pt idx="40">
                  <c:v>369</c:v>
                </c:pt>
                <c:pt idx="41">
                  <c:v>360</c:v>
                </c:pt>
                <c:pt idx="42">
                  <c:v>462</c:v>
                </c:pt>
                <c:pt idx="43">
                  <c:v>238</c:v>
                </c:pt>
                <c:pt idx="44">
                  <c:v>365</c:v>
                </c:pt>
                <c:pt idx="45">
                  <c:v>369</c:v>
                </c:pt>
                <c:pt idx="46">
                  <c:v>322</c:v>
                </c:pt>
                <c:pt idx="47">
                  <c:v>249</c:v>
                </c:pt>
                <c:pt idx="48">
                  <c:v>215</c:v>
                </c:pt>
                <c:pt idx="49">
                  <c:v>488</c:v>
                </c:pt>
                <c:pt idx="50">
                  <c:v>143</c:v>
                </c:pt>
                <c:pt idx="51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9-4B5A-896F-8267569EE2E5}"/>
            </c:ext>
          </c:extLst>
        </c:ser>
        <c:ser>
          <c:idx val="1"/>
          <c:order val="1"/>
          <c:tx>
            <c:strRef>
              <c:f>'2025'!$C$3</c:f>
              <c:strCache>
                <c:ptCount val="1"/>
                <c:pt idx="0">
                  <c:v>Trym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'2025'!$C$4:$C$55</c:f>
              <c:numCache>
                <c:formatCode>General</c:formatCode>
                <c:ptCount val="52"/>
                <c:pt idx="0">
                  <c:v>334</c:v>
                </c:pt>
                <c:pt idx="1">
                  <c:v>127</c:v>
                </c:pt>
                <c:pt idx="2">
                  <c:v>270</c:v>
                </c:pt>
                <c:pt idx="3">
                  <c:v>152</c:v>
                </c:pt>
                <c:pt idx="4">
                  <c:v>264</c:v>
                </c:pt>
                <c:pt idx="5">
                  <c:v>207</c:v>
                </c:pt>
                <c:pt idx="6">
                  <c:v>357</c:v>
                </c:pt>
                <c:pt idx="7">
                  <c:v>415</c:v>
                </c:pt>
                <c:pt idx="8">
                  <c:v>184</c:v>
                </c:pt>
                <c:pt idx="9">
                  <c:v>232</c:v>
                </c:pt>
                <c:pt idx="10">
                  <c:v>328</c:v>
                </c:pt>
                <c:pt idx="11">
                  <c:v>408</c:v>
                </c:pt>
                <c:pt idx="12">
                  <c:v>223</c:v>
                </c:pt>
                <c:pt idx="13">
                  <c:v>307</c:v>
                </c:pt>
                <c:pt idx="14">
                  <c:v>64</c:v>
                </c:pt>
                <c:pt idx="15">
                  <c:v>308</c:v>
                </c:pt>
                <c:pt idx="16">
                  <c:v>163</c:v>
                </c:pt>
                <c:pt idx="17">
                  <c:v>416</c:v>
                </c:pt>
                <c:pt idx="18">
                  <c:v>279</c:v>
                </c:pt>
                <c:pt idx="19">
                  <c:v>134</c:v>
                </c:pt>
                <c:pt idx="20">
                  <c:v>311</c:v>
                </c:pt>
                <c:pt idx="21">
                  <c:v>156</c:v>
                </c:pt>
                <c:pt idx="22">
                  <c:v>326</c:v>
                </c:pt>
                <c:pt idx="23">
                  <c:v>225</c:v>
                </c:pt>
                <c:pt idx="24">
                  <c:v>413</c:v>
                </c:pt>
                <c:pt idx="25">
                  <c:v>408</c:v>
                </c:pt>
                <c:pt idx="26">
                  <c:v>365</c:v>
                </c:pt>
                <c:pt idx="27">
                  <c:v>326</c:v>
                </c:pt>
                <c:pt idx="28">
                  <c:v>352</c:v>
                </c:pt>
                <c:pt idx="29">
                  <c:v>314</c:v>
                </c:pt>
                <c:pt idx="30">
                  <c:v>302</c:v>
                </c:pt>
                <c:pt idx="31">
                  <c:v>373</c:v>
                </c:pt>
                <c:pt idx="32">
                  <c:v>126</c:v>
                </c:pt>
                <c:pt idx="33">
                  <c:v>290</c:v>
                </c:pt>
                <c:pt idx="34">
                  <c:v>320</c:v>
                </c:pt>
                <c:pt idx="35">
                  <c:v>244</c:v>
                </c:pt>
                <c:pt idx="36">
                  <c:v>352</c:v>
                </c:pt>
                <c:pt idx="37">
                  <c:v>163</c:v>
                </c:pt>
                <c:pt idx="38">
                  <c:v>352</c:v>
                </c:pt>
                <c:pt idx="39">
                  <c:v>185</c:v>
                </c:pt>
                <c:pt idx="40">
                  <c:v>373</c:v>
                </c:pt>
                <c:pt idx="41">
                  <c:v>84</c:v>
                </c:pt>
                <c:pt idx="42">
                  <c:v>427</c:v>
                </c:pt>
                <c:pt idx="43">
                  <c:v>132</c:v>
                </c:pt>
                <c:pt idx="44">
                  <c:v>386</c:v>
                </c:pt>
                <c:pt idx="45">
                  <c:v>257</c:v>
                </c:pt>
                <c:pt idx="46">
                  <c:v>175</c:v>
                </c:pt>
                <c:pt idx="47">
                  <c:v>197</c:v>
                </c:pt>
                <c:pt idx="48">
                  <c:v>24</c:v>
                </c:pt>
                <c:pt idx="49">
                  <c:v>464</c:v>
                </c:pt>
                <c:pt idx="50">
                  <c:v>109</c:v>
                </c:pt>
                <c:pt idx="5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9-4B5A-896F-8267569EE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396912"/>
        <c:axId val="1598398352"/>
      </c:lineChart>
      <c:catAx>
        <c:axId val="1598396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8398352"/>
        <c:crosses val="autoZero"/>
        <c:auto val="1"/>
        <c:lblAlgn val="ctr"/>
        <c:lblOffset val="100"/>
        <c:noMultiLvlLbl val="0"/>
      </c:catAx>
      <c:valAx>
        <c:axId val="159839835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2</xdr:row>
      <xdr:rowOff>76200</xdr:rowOff>
    </xdr:from>
    <xdr:to>
      <xdr:col>10</xdr:col>
      <xdr:colOff>308610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0264E-E905-2F61-93BC-826E3BFAA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201930</xdr:colOff>
      <xdr:row>3</xdr:row>
      <xdr:rowOff>91446</xdr:rowOff>
    </xdr:from>
    <xdr:to>
      <xdr:col>14</xdr:col>
      <xdr:colOff>518160</xdr:colOff>
      <xdr:row>18</xdr:row>
      <xdr:rowOff>91446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E1A23-8669-3642-42CB-7C4F0B719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ym Sigurdsen" refreshedDate="46028.406025462966" createdVersion="8" refreshedVersion="8" minRefreshableVersion="3" recordCount="52" xr:uid="{E9D41185-F3C7-4FFC-851D-C274AD2D9D5E}">
  <cacheSource type="worksheet">
    <worksheetSource ref="B3:D55" sheet="2025"/>
  </cacheSource>
  <cacheFields count="3">
    <cacheField name="Nicolai" numFmtId="0">
      <sharedItems containsSemiMixedTypes="0" containsString="0" containsNumber="1" containsInteger="1" minValue="119" maxValue="500"/>
    </cacheField>
    <cacheField name="Trym" numFmtId="0">
      <sharedItems containsSemiMixedTypes="0" containsString="0" containsNumber="1" containsInteger="1" minValue="24" maxValue="464"/>
    </cacheField>
    <cacheField name="Vinner" numFmtId="0">
      <sharedItems count="2">
        <s v="TRYM"/>
        <s v="NICOL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405"/>
    <n v="334"/>
    <x v="0"/>
  </r>
  <r>
    <n v="244"/>
    <n v="127"/>
    <x v="0"/>
  </r>
  <r>
    <n v="259"/>
    <n v="270"/>
    <x v="1"/>
  </r>
  <r>
    <n v="224"/>
    <n v="152"/>
    <x v="0"/>
  </r>
  <r>
    <n v="217"/>
    <n v="264"/>
    <x v="1"/>
  </r>
  <r>
    <n v="465"/>
    <n v="207"/>
    <x v="0"/>
  </r>
  <r>
    <n v="344"/>
    <n v="357"/>
    <x v="1"/>
  </r>
  <r>
    <n v="313"/>
    <n v="415"/>
    <x v="1"/>
  </r>
  <r>
    <n v="335"/>
    <n v="184"/>
    <x v="0"/>
  </r>
  <r>
    <n v="331"/>
    <n v="232"/>
    <x v="0"/>
  </r>
  <r>
    <n v="320"/>
    <n v="328"/>
    <x v="1"/>
  </r>
  <r>
    <n v="390"/>
    <n v="408"/>
    <x v="1"/>
  </r>
  <r>
    <n v="366"/>
    <n v="223"/>
    <x v="0"/>
  </r>
  <r>
    <n v="358"/>
    <n v="307"/>
    <x v="0"/>
  </r>
  <r>
    <n v="237"/>
    <n v="64"/>
    <x v="0"/>
  </r>
  <r>
    <n v="360"/>
    <n v="308"/>
    <x v="0"/>
  </r>
  <r>
    <n v="394"/>
    <n v="163"/>
    <x v="0"/>
  </r>
  <r>
    <n v="467"/>
    <n v="416"/>
    <x v="0"/>
  </r>
  <r>
    <n v="376"/>
    <n v="279"/>
    <x v="0"/>
  </r>
  <r>
    <n v="424"/>
    <n v="134"/>
    <x v="0"/>
  </r>
  <r>
    <n v="179"/>
    <n v="311"/>
    <x v="1"/>
  </r>
  <r>
    <n v="369"/>
    <n v="156"/>
    <x v="0"/>
  </r>
  <r>
    <n v="373"/>
    <n v="326"/>
    <x v="0"/>
  </r>
  <r>
    <n v="302"/>
    <n v="225"/>
    <x v="0"/>
  </r>
  <r>
    <n v="334"/>
    <n v="413"/>
    <x v="1"/>
  </r>
  <r>
    <n v="459"/>
    <n v="408"/>
    <x v="0"/>
  </r>
  <r>
    <n v="500"/>
    <n v="365"/>
    <x v="0"/>
  </r>
  <r>
    <n v="395"/>
    <n v="326"/>
    <x v="0"/>
  </r>
  <r>
    <n v="430"/>
    <n v="352"/>
    <x v="0"/>
  </r>
  <r>
    <n v="361"/>
    <n v="314"/>
    <x v="0"/>
  </r>
  <r>
    <n v="344"/>
    <n v="302"/>
    <x v="0"/>
  </r>
  <r>
    <n v="382"/>
    <n v="373"/>
    <x v="0"/>
  </r>
  <r>
    <n v="300"/>
    <n v="126"/>
    <x v="0"/>
  </r>
  <r>
    <n v="370"/>
    <n v="290"/>
    <x v="0"/>
  </r>
  <r>
    <n v="388"/>
    <n v="320"/>
    <x v="0"/>
  </r>
  <r>
    <n v="345"/>
    <n v="244"/>
    <x v="0"/>
  </r>
  <r>
    <n v="461"/>
    <n v="352"/>
    <x v="0"/>
  </r>
  <r>
    <n v="119"/>
    <n v="163"/>
    <x v="1"/>
  </r>
  <r>
    <n v="388"/>
    <n v="352"/>
    <x v="0"/>
  </r>
  <r>
    <n v="446"/>
    <n v="185"/>
    <x v="0"/>
  </r>
  <r>
    <n v="369"/>
    <n v="373"/>
    <x v="1"/>
  </r>
  <r>
    <n v="360"/>
    <n v="84"/>
    <x v="0"/>
  </r>
  <r>
    <n v="462"/>
    <n v="427"/>
    <x v="0"/>
  </r>
  <r>
    <n v="238"/>
    <n v="132"/>
    <x v="0"/>
  </r>
  <r>
    <n v="365"/>
    <n v="386"/>
    <x v="1"/>
  </r>
  <r>
    <n v="369"/>
    <n v="257"/>
    <x v="0"/>
  </r>
  <r>
    <n v="322"/>
    <n v="175"/>
    <x v="0"/>
  </r>
  <r>
    <n v="249"/>
    <n v="197"/>
    <x v="0"/>
  </r>
  <r>
    <n v="215"/>
    <n v="24"/>
    <x v="0"/>
  </r>
  <r>
    <n v="488"/>
    <n v="464"/>
    <x v="0"/>
  </r>
  <r>
    <n v="143"/>
    <n v="109"/>
    <x v="0"/>
  </r>
  <r>
    <n v="293"/>
    <n v="40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B8882-8DF9-44F3-9CD3-7A3685A3A26D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unt of Vinn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7FAA-C137-4E5B-8250-095B3E85E835}">
  <dimension ref="A3:B5"/>
  <sheetViews>
    <sheetView workbookViewId="0">
      <selection activeCell="A3" sqref="A3"/>
    </sheetView>
  </sheetViews>
  <sheetFormatPr defaultRowHeight="14.4" x14ac:dyDescent="0.3"/>
  <cols>
    <col min="1" max="1" width="8.5546875" bestFit="1" customWidth="1"/>
    <col min="2" max="2" width="13.5546875" bestFit="1" customWidth="1"/>
  </cols>
  <sheetData>
    <row r="3" spans="1:2" x14ac:dyDescent="0.3">
      <c r="A3" s="9" t="s">
        <v>2</v>
      </c>
      <c r="B3" t="s">
        <v>10</v>
      </c>
    </row>
    <row r="4" spans="1:2" x14ac:dyDescent="0.3">
      <c r="A4" t="s">
        <v>5</v>
      </c>
      <c r="B4">
        <v>12</v>
      </c>
    </row>
    <row r="5" spans="1:2" x14ac:dyDescent="0.3">
      <c r="A5" t="s">
        <v>6</v>
      </c>
      <c r="B5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30AC-F20F-4B10-A03C-1D821B71F65A}">
  <dimension ref="A2:H63"/>
  <sheetViews>
    <sheetView workbookViewId="0">
      <pane ySplit="3" topLeftCell="A4" activePane="bottomLeft" state="frozen"/>
      <selection pane="bottomLeft" activeCell="E59" sqref="E59"/>
    </sheetView>
  </sheetViews>
  <sheetFormatPr defaultRowHeight="14.4" x14ac:dyDescent="0.3"/>
  <cols>
    <col min="2" max="2" width="12.109375" customWidth="1"/>
    <col min="3" max="3" width="11" customWidth="1"/>
  </cols>
  <sheetData>
    <row r="2" spans="2:8" x14ac:dyDescent="0.3">
      <c r="B2" s="30" t="s">
        <v>3</v>
      </c>
      <c r="C2" s="30"/>
    </row>
    <row r="3" spans="2:8" x14ac:dyDescent="0.3">
      <c r="B3" s="4" t="s">
        <v>0</v>
      </c>
      <c r="C3" s="4" t="s">
        <v>1</v>
      </c>
      <c r="D3" s="7" t="s">
        <v>2</v>
      </c>
      <c r="F3" t="s">
        <v>22</v>
      </c>
      <c r="H3">
        <f>COUNT(C4:C55)</f>
        <v>52</v>
      </c>
    </row>
    <row r="4" spans="2:8" x14ac:dyDescent="0.3">
      <c r="B4" s="5">
        <v>405</v>
      </c>
      <c r="C4" s="5">
        <v>334</v>
      </c>
      <c r="D4" s="6" t="str">
        <f>IF(B4&gt;C4,"TRYM","NICOLAI")</f>
        <v>TRYM</v>
      </c>
    </row>
    <row r="5" spans="2:8" x14ac:dyDescent="0.3">
      <c r="B5" s="5">
        <v>244</v>
      </c>
      <c r="C5" s="5">
        <v>127</v>
      </c>
      <c r="D5" s="6" t="str">
        <f>IF(B5&gt;C5,"TRYM","NICOLAI")</f>
        <v>TRYM</v>
      </c>
    </row>
    <row r="6" spans="2:8" x14ac:dyDescent="0.3">
      <c r="B6" s="5">
        <v>259</v>
      </c>
      <c r="C6" s="5">
        <v>270</v>
      </c>
      <c r="D6" s="6" t="str">
        <f>IF(B6&gt;C6,"TRYM","NICOLAI")</f>
        <v>NICOLAI</v>
      </c>
    </row>
    <row r="7" spans="2:8" x14ac:dyDescent="0.3">
      <c r="B7" s="5">
        <v>224</v>
      </c>
      <c r="C7" s="5">
        <v>152</v>
      </c>
      <c r="D7" s="6" t="str">
        <f t="shared" ref="D7:D55" si="0">IF(B7&gt;C7,"TRYM","NICOLAI")</f>
        <v>TRYM</v>
      </c>
    </row>
    <row r="8" spans="2:8" x14ac:dyDescent="0.3">
      <c r="B8" s="5">
        <v>217</v>
      </c>
      <c r="C8" s="5">
        <v>264</v>
      </c>
      <c r="D8" s="6" t="str">
        <f t="shared" si="0"/>
        <v>NICOLAI</v>
      </c>
    </row>
    <row r="9" spans="2:8" x14ac:dyDescent="0.3">
      <c r="B9" s="5">
        <v>465</v>
      </c>
      <c r="C9" s="5">
        <v>207</v>
      </c>
      <c r="D9" s="6" t="str">
        <f t="shared" si="0"/>
        <v>TRYM</v>
      </c>
    </row>
    <row r="10" spans="2:8" x14ac:dyDescent="0.3">
      <c r="B10" s="5">
        <v>344</v>
      </c>
      <c r="C10" s="5">
        <v>357</v>
      </c>
      <c r="D10" s="6" t="str">
        <f t="shared" si="0"/>
        <v>NICOLAI</v>
      </c>
    </row>
    <row r="11" spans="2:8" x14ac:dyDescent="0.3">
      <c r="B11" s="5">
        <v>313</v>
      </c>
      <c r="C11" s="5">
        <v>415</v>
      </c>
      <c r="D11" s="6" t="str">
        <f t="shared" si="0"/>
        <v>NICOLAI</v>
      </c>
    </row>
    <row r="12" spans="2:8" x14ac:dyDescent="0.3">
      <c r="B12" s="5">
        <v>335</v>
      </c>
      <c r="C12" s="5">
        <v>184</v>
      </c>
      <c r="D12" s="6" t="str">
        <f t="shared" si="0"/>
        <v>TRYM</v>
      </c>
    </row>
    <row r="13" spans="2:8" x14ac:dyDescent="0.3">
      <c r="B13" s="5">
        <v>331</v>
      </c>
      <c r="C13" s="5">
        <v>232</v>
      </c>
      <c r="D13" s="6" t="str">
        <f t="shared" si="0"/>
        <v>TRYM</v>
      </c>
    </row>
    <row r="14" spans="2:8" x14ac:dyDescent="0.3">
      <c r="B14" s="5">
        <v>320</v>
      </c>
      <c r="C14" s="5">
        <v>328</v>
      </c>
      <c r="D14" s="6" t="str">
        <f t="shared" si="0"/>
        <v>NICOLAI</v>
      </c>
    </row>
    <row r="15" spans="2:8" x14ac:dyDescent="0.3">
      <c r="B15" s="5">
        <v>390</v>
      </c>
      <c r="C15" s="5">
        <v>408</v>
      </c>
      <c r="D15" s="6" t="str">
        <f t="shared" si="0"/>
        <v>NICOLAI</v>
      </c>
    </row>
    <row r="16" spans="2:8" x14ac:dyDescent="0.3">
      <c r="B16" s="5">
        <v>366</v>
      </c>
      <c r="C16" s="5">
        <v>223</v>
      </c>
      <c r="D16" s="6" t="str">
        <f t="shared" si="0"/>
        <v>TRYM</v>
      </c>
    </row>
    <row r="17" spans="2:4" x14ac:dyDescent="0.3">
      <c r="B17" s="5">
        <v>358</v>
      </c>
      <c r="C17" s="5">
        <v>307</v>
      </c>
      <c r="D17" s="6" t="str">
        <f t="shared" si="0"/>
        <v>TRYM</v>
      </c>
    </row>
    <row r="18" spans="2:4" x14ac:dyDescent="0.3">
      <c r="B18" s="5">
        <v>237</v>
      </c>
      <c r="C18" s="5">
        <v>64</v>
      </c>
      <c r="D18" s="6" t="str">
        <f t="shared" si="0"/>
        <v>TRYM</v>
      </c>
    </row>
    <row r="19" spans="2:4" x14ac:dyDescent="0.3">
      <c r="B19" s="5">
        <v>360</v>
      </c>
      <c r="C19" s="5">
        <v>308</v>
      </c>
      <c r="D19" s="6" t="str">
        <f t="shared" si="0"/>
        <v>TRYM</v>
      </c>
    </row>
    <row r="20" spans="2:4" x14ac:dyDescent="0.3">
      <c r="B20" s="5">
        <v>394</v>
      </c>
      <c r="C20" s="5">
        <v>163</v>
      </c>
      <c r="D20" s="6" t="str">
        <f t="shared" si="0"/>
        <v>TRYM</v>
      </c>
    </row>
    <row r="21" spans="2:4" x14ac:dyDescent="0.3">
      <c r="B21" s="5">
        <v>467</v>
      </c>
      <c r="C21" s="5">
        <v>416</v>
      </c>
      <c r="D21" s="6" t="str">
        <f t="shared" si="0"/>
        <v>TRYM</v>
      </c>
    </row>
    <row r="22" spans="2:4" x14ac:dyDescent="0.3">
      <c r="B22" s="5">
        <v>376</v>
      </c>
      <c r="C22" s="5">
        <v>279</v>
      </c>
      <c r="D22" s="6" t="str">
        <f t="shared" si="0"/>
        <v>TRYM</v>
      </c>
    </row>
    <row r="23" spans="2:4" x14ac:dyDescent="0.3">
      <c r="B23" s="5">
        <v>424</v>
      </c>
      <c r="C23" s="5">
        <v>134</v>
      </c>
      <c r="D23" s="6" t="str">
        <f t="shared" si="0"/>
        <v>TRYM</v>
      </c>
    </row>
    <row r="24" spans="2:4" x14ac:dyDescent="0.3">
      <c r="B24" s="5">
        <v>179</v>
      </c>
      <c r="C24" s="5">
        <v>311</v>
      </c>
      <c r="D24" s="6" t="str">
        <f t="shared" si="0"/>
        <v>NICOLAI</v>
      </c>
    </row>
    <row r="25" spans="2:4" x14ac:dyDescent="0.3">
      <c r="B25" s="5">
        <v>369</v>
      </c>
      <c r="C25" s="5">
        <v>156</v>
      </c>
      <c r="D25" s="6" t="str">
        <f t="shared" si="0"/>
        <v>TRYM</v>
      </c>
    </row>
    <row r="26" spans="2:4" x14ac:dyDescent="0.3">
      <c r="B26" s="5">
        <v>373</v>
      </c>
      <c r="C26" s="5">
        <v>326</v>
      </c>
      <c r="D26" s="6" t="str">
        <f t="shared" si="0"/>
        <v>TRYM</v>
      </c>
    </row>
    <row r="27" spans="2:4" x14ac:dyDescent="0.3">
      <c r="B27" s="5">
        <v>302</v>
      </c>
      <c r="C27" s="5">
        <v>225</v>
      </c>
      <c r="D27" s="6" t="str">
        <f t="shared" si="0"/>
        <v>TRYM</v>
      </c>
    </row>
    <row r="28" spans="2:4" x14ac:dyDescent="0.3">
      <c r="B28" s="5">
        <v>334</v>
      </c>
      <c r="C28" s="5">
        <v>413</v>
      </c>
      <c r="D28" s="6" t="str">
        <f t="shared" si="0"/>
        <v>NICOLAI</v>
      </c>
    </row>
    <row r="29" spans="2:4" x14ac:dyDescent="0.3">
      <c r="B29" s="5">
        <v>459</v>
      </c>
      <c r="C29" s="5">
        <v>408</v>
      </c>
      <c r="D29" s="6" t="str">
        <f t="shared" si="0"/>
        <v>TRYM</v>
      </c>
    </row>
    <row r="30" spans="2:4" x14ac:dyDescent="0.3">
      <c r="B30" s="5">
        <v>500</v>
      </c>
      <c r="C30" s="5">
        <v>365</v>
      </c>
      <c r="D30" s="6" t="str">
        <f t="shared" si="0"/>
        <v>TRYM</v>
      </c>
    </row>
    <row r="31" spans="2:4" x14ac:dyDescent="0.3">
      <c r="B31" s="5">
        <v>395</v>
      </c>
      <c r="C31" s="5">
        <v>326</v>
      </c>
      <c r="D31" s="6" t="str">
        <f t="shared" si="0"/>
        <v>TRYM</v>
      </c>
    </row>
    <row r="32" spans="2:4" x14ac:dyDescent="0.3">
      <c r="B32" s="5">
        <v>430</v>
      </c>
      <c r="C32" s="5">
        <v>352</v>
      </c>
      <c r="D32" s="6" t="str">
        <f t="shared" si="0"/>
        <v>TRYM</v>
      </c>
    </row>
    <row r="33" spans="2:4" x14ac:dyDescent="0.3">
      <c r="B33" s="5">
        <v>361</v>
      </c>
      <c r="C33" s="5">
        <v>314</v>
      </c>
      <c r="D33" s="6" t="str">
        <f t="shared" si="0"/>
        <v>TRYM</v>
      </c>
    </row>
    <row r="34" spans="2:4" x14ac:dyDescent="0.3">
      <c r="B34" s="5">
        <v>344</v>
      </c>
      <c r="C34" s="5">
        <v>302</v>
      </c>
      <c r="D34" s="6" t="str">
        <f t="shared" si="0"/>
        <v>TRYM</v>
      </c>
    </row>
    <row r="35" spans="2:4" x14ac:dyDescent="0.3">
      <c r="B35" s="5">
        <v>382</v>
      </c>
      <c r="C35" s="5">
        <v>373</v>
      </c>
      <c r="D35" s="6" t="str">
        <f t="shared" si="0"/>
        <v>TRYM</v>
      </c>
    </row>
    <row r="36" spans="2:4" x14ac:dyDescent="0.3">
      <c r="B36" s="5">
        <v>300</v>
      </c>
      <c r="C36" s="5">
        <v>126</v>
      </c>
      <c r="D36" s="6" t="str">
        <f t="shared" si="0"/>
        <v>TRYM</v>
      </c>
    </row>
    <row r="37" spans="2:4" x14ac:dyDescent="0.3">
      <c r="B37" s="5">
        <v>370</v>
      </c>
      <c r="C37" s="5">
        <v>290</v>
      </c>
      <c r="D37" s="6" t="str">
        <f t="shared" si="0"/>
        <v>TRYM</v>
      </c>
    </row>
    <row r="38" spans="2:4" x14ac:dyDescent="0.3">
      <c r="B38" s="5">
        <v>388</v>
      </c>
      <c r="C38" s="5">
        <v>320</v>
      </c>
      <c r="D38" s="6" t="str">
        <f t="shared" si="0"/>
        <v>TRYM</v>
      </c>
    </row>
    <row r="39" spans="2:4" x14ac:dyDescent="0.3">
      <c r="B39" s="5">
        <v>345</v>
      </c>
      <c r="C39" s="5">
        <v>244</v>
      </c>
      <c r="D39" s="6" t="str">
        <f t="shared" si="0"/>
        <v>TRYM</v>
      </c>
    </row>
    <row r="40" spans="2:4" x14ac:dyDescent="0.3">
      <c r="B40" s="5">
        <v>461</v>
      </c>
      <c r="C40" s="5">
        <v>352</v>
      </c>
      <c r="D40" s="6" t="str">
        <f t="shared" si="0"/>
        <v>TRYM</v>
      </c>
    </row>
    <row r="41" spans="2:4" x14ac:dyDescent="0.3">
      <c r="B41" s="5">
        <v>119</v>
      </c>
      <c r="C41" s="5">
        <v>163</v>
      </c>
      <c r="D41" s="6" t="str">
        <f t="shared" si="0"/>
        <v>NICOLAI</v>
      </c>
    </row>
    <row r="42" spans="2:4" x14ac:dyDescent="0.3">
      <c r="B42" s="5">
        <v>388</v>
      </c>
      <c r="C42" s="5">
        <v>352</v>
      </c>
      <c r="D42" s="6" t="str">
        <f t="shared" si="0"/>
        <v>TRYM</v>
      </c>
    </row>
    <row r="43" spans="2:4" x14ac:dyDescent="0.3">
      <c r="B43" s="5">
        <v>446</v>
      </c>
      <c r="C43" s="5">
        <v>185</v>
      </c>
      <c r="D43" s="6" t="str">
        <f t="shared" si="0"/>
        <v>TRYM</v>
      </c>
    </row>
    <row r="44" spans="2:4" x14ac:dyDescent="0.3">
      <c r="B44" s="5">
        <v>369</v>
      </c>
      <c r="C44" s="5">
        <v>373</v>
      </c>
      <c r="D44" s="6" t="str">
        <f t="shared" si="0"/>
        <v>NICOLAI</v>
      </c>
    </row>
    <row r="45" spans="2:4" x14ac:dyDescent="0.3">
      <c r="B45" s="5">
        <v>360</v>
      </c>
      <c r="C45" s="5">
        <v>84</v>
      </c>
      <c r="D45" s="6" t="str">
        <f t="shared" si="0"/>
        <v>TRYM</v>
      </c>
    </row>
    <row r="46" spans="2:4" x14ac:dyDescent="0.3">
      <c r="B46" s="5">
        <v>462</v>
      </c>
      <c r="C46" s="5">
        <v>427</v>
      </c>
      <c r="D46" s="6" t="str">
        <f t="shared" si="0"/>
        <v>TRYM</v>
      </c>
    </row>
    <row r="47" spans="2:4" x14ac:dyDescent="0.3">
      <c r="B47" s="5">
        <v>238</v>
      </c>
      <c r="C47" s="5">
        <v>132</v>
      </c>
      <c r="D47" s="6" t="str">
        <f t="shared" si="0"/>
        <v>TRYM</v>
      </c>
    </row>
    <row r="48" spans="2:4" x14ac:dyDescent="0.3">
      <c r="B48" s="5">
        <v>365</v>
      </c>
      <c r="C48" s="5">
        <v>386</v>
      </c>
      <c r="D48" s="6" t="str">
        <f t="shared" si="0"/>
        <v>NICOLAI</v>
      </c>
    </row>
    <row r="49" spans="1:7" x14ac:dyDescent="0.3">
      <c r="B49" s="5">
        <v>369</v>
      </c>
      <c r="C49" s="5">
        <v>257</v>
      </c>
      <c r="D49" s="6" t="str">
        <f t="shared" si="0"/>
        <v>TRYM</v>
      </c>
    </row>
    <row r="50" spans="1:7" x14ac:dyDescent="0.3">
      <c r="B50" s="5">
        <v>322</v>
      </c>
      <c r="C50" s="5">
        <v>175</v>
      </c>
      <c r="D50" s="6" t="str">
        <f t="shared" si="0"/>
        <v>TRYM</v>
      </c>
    </row>
    <row r="51" spans="1:7" x14ac:dyDescent="0.3">
      <c r="B51" s="5">
        <v>249</v>
      </c>
      <c r="C51" s="5">
        <v>197</v>
      </c>
      <c r="D51" s="6" t="str">
        <f t="shared" si="0"/>
        <v>TRYM</v>
      </c>
    </row>
    <row r="52" spans="1:7" x14ac:dyDescent="0.3">
      <c r="B52" s="5">
        <v>215</v>
      </c>
      <c r="C52" s="5">
        <v>24</v>
      </c>
      <c r="D52" s="6" t="str">
        <f t="shared" si="0"/>
        <v>TRYM</v>
      </c>
    </row>
    <row r="53" spans="1:7" x14ac:dyDescent="0.3">
      <c r="B53" s="5">
        <v>488</v>
      </c>
      <c r="C53" s="5">
        <v>464</v>
      </c>
      <c r="D53" s="6" t="str">
        <f t="shared" si="0"/>
        <v>TRYM</v>
      </c>
    </row>
    <row r="54" spans="1:7" x14ac:dyDescent="0.3">
      <c r="B54" s="5">
        <v>143</v>
      </c>
      <c r="C54" s="5">
        <v>109</v>
      </c>
      <c r="D54" s="6" t="str">
        <f t="shared" si="0"/>
        <v>TRYM</v>
      </c>
    </row>
    <row r="55" spans="1:7" x14ac:dyDescent="0.3">
      <c r="B55" s="5">
        <v>293</v>
      </c>
      <c r="C55" s="5">
        <v>404</v>
      </c>
      <c r="D55" s="6" t="str">
        <f t="shared" si="0"/>
        <v>NICOLAI</v>
      </c>
    </row>
    <row r="56" spans="1:7" x14ac:dyDescent="0.3">
      <c r="B56" s="3"/>
      <c r="C56" s="3"/>
      <c r="D56" s="3"/>
    </row>
    <row r="57" spans="1:7" x14ac:dyDescent="0.3">
      <c r="A57" s="2" t="s">
        <v>4</v>
      </c>
      <c r="B57" s="8">
        <f>SUM(B4:B55)</f>
        <v>17947</v>
      </c>
      <c r="C57" s="8">
        <f>SUM(C4:C55)</f>
        <v>14107</v>
      </c>
    </row>
    <row r="58" spans="1:7" x14ac:dyDescent="0.3">
      <c r="A58" s="20"/>
    </row>
    <row r="60" spans="1:7" ht="27.6" customHeight="1" x14ac:dyDescent="0.3">
      <c r="A60" s="11"/>
      <c r="B60" s="12" t="s">
        <v>16</v>
      </c>
      <c r="C60" s="12" t="s">
        <v>23</v>
      </c>
      <c r="D60" s="12" t="s">
        <v>13</v>
      </c>
      <c r="E60" s="13" t="s">
        <v>17</v>
      </c>
      <c r="F60" s="12" t="s">
        <v>14</v>
      </c>
      <c r="G60" s="12" t="s">
        <v>15</v>
      </c>
    </row>
    <row r="61" spans="1:7" x14ac:dyDescent="0.3">
      <c r="A61" s="14" t="s">
        <v>5</v>
      </c>
      <c r="B61" s="1">
        <f>COUNTIF(D4:D55,"NICOLAI")</f>
        <v>12</v>
      </c>
      <c r="C61" s="17">
        <f>B61/H3</f>
        <v>0.23076923076923078</v>
      </c>
      <c r="D61" s="10">
        <f>AVERAGE(B4:B55)</f>
        <v>345.13461538461536</v>
      </c>
      <c r="E61" s="10">
        <f>MEDIAN(B4:B55)</f>
        <v>360.5</v>
      </c>
      <c r="F61" s="1">
        <f>MAX(B4:B55)</f>
        <v>500</v>
      </c>
      <c r="G61" s="1">
        <f>MIN(B4:B55)</f>
        <v>119</v>
      </c>
    </row>
    <row r="62" spans="1:7" x14ac:dyDescent="0.3">
      <c r="A62" s="14" t="s">
        <v>6</v>
      </c>
      <c r="B62" s="1">
        <f>COUNTIF(D4:D55,"TRYM")</f>
        <v>40</v>
      </c>
      <c r="C62" s="17">
        <f>B62/H3</f>
        <v>0.76923076923076927</v>
      </c>
      <c r="D62" s="10">
        <f>AVERAGE(C4:C55)</f>
        <v>271.28846153846155</v>
      </c>
      <c r="E62" s="1">
        <f>MEDIAN(C4:C55)</f>
        <v>296</v>
      </c>
      <c r="F62" s="1">
        <f>MAX(C4:C55)</f>
        <v>464</v>
      </c>
      <c r="G62" s="1">
        <f>MIN(C4:C55)</f>
        <v>24</v>
      </c>
    </row>
    <row r="63" spans="1:7" x14ac:dyDescent="0.3">
      <c r="D63" s="1"/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C87E-BEC9-423F-A781-F3D52363E50E}">
  <dimension ref="A2:N105"/>
  <sheetViews>
    <sheetView showGridLines="0" tabSelected="1" zoomScale="85" zoomScaleNormal="85" workbookViewId="0">
      <pane ySplit="3" topLeftCell="A93" activePane="bottomLeft" state="frozen"/>
      <selection pane="bottomLeft" activeCell="A3" sqref="A3"/>
    </sheetView>
  </sheetViews>
  <sheetFormatPr defaultRowHeight="14.4" x14ac:dyDescent="0.3"/>
  <cols>
    <col min="2" max="2" width="10.44140625" customWidth="1"/>
    <col min="3" max="3" width="10.6640625" customWidth="1"/>
    <col min="4" max="11" width="8.88671875" customWidth="1"/>
    <col min="12" max="12" width="8.6640625" customWidth="1"/>
    <col min="13" max="13" width="2" customWidth="1"/>
    <col min="14" max="14" width="7.6640625" customWidth="1"/>
  </cols>
  <sheetData>
    <row r="2" spans="1:8" x14ac:dyDescent="0.3">
      <c r="B2" s="30" t="s">
        <v>3</v>
      </c>
      <c r="C2" s="30"/>
    </row>
    <row r="3" spans="1:8" x14ac:dyDescent="0.3">
      <c r="A3" t="s">
        <v>24</v>
      </c>
      <c r="B3" s="4" t="s">
        <v>0</v>
      </c>
      <c r="C3" s="4" t="s">
        <v>1</v>
      </c>
      <c r="D3" s="7" t="s">
        <v>2</v>
      </c>
      <c r="F3" t="s">
        <v>22</v>
      </c>
      <c r="H3">
        <f>COUNT(C4:C98)</f>
        <v>83</v>
      </c>
    </row>
    <row r="4" spans="1:8" x14ac:dyDescent="0.3">
      <c r="A4" t="s">
        <v>7</v>
      </c>
      <c r="B4" s="5">
        <v>173</v>
      </c>
      <c r="C4" s="5">
        <v>266</v>
      </c>
      <c r="D4" s="6" t="str">
        <f t="shared" ref="D4:D29" si="0">IF(B4&gt;C4,"TRYM","NICOLAI")</f>
        <v>NICOLAI</v>
      </c>
    </row>
    <row r="5" spans="1:8" x14ac:dyDescent="0.3">
      <c r="A5" t="s">
        <v>8</v>
      </c>
      <c r="B5" s="5">
        <v>366</v>
      </c>
      <c r="C5" s="5">
        <v>242</v>
      </c>
      <c r="D5" s="6" t="str">
        <f t="shared" si="0"/>
        <v>TRYM</v>
      </c>
    </row>
    <row r="6" spans="1:8" x14ac:dyDescent="0.3">
      <c r="A6" t="s">
        <v>9</v>
      </c>
      <c r="B6" s="5">
        <v>349</v>
      </c>
      <c r="C6" s="5">
        <v>387</v>
      </c>
      <c r="D6" s="6" t="str">
        <f t="shared" si="0"/>
        <v>NICOLAI</v>
      </c>
    </row>
    <row r="7" spans="1:8" x14ac:dyDescent="0.3">
      <c r="A7" t="s">
        <v>11</v>
      </c>
      <c r="B7" s="5">
        <v>500</v>
      </c>
      <c r="C7" s="5">
        <v>384</v>
      </c>
      <c r="D7" s="6" t="str">
        <f t="shared" si="0"/>
        <v>TRYM</v>
      </c>
    </row>
    <row r="8" spans="1:8" x14ac:dyDescent="0.3">
      <c r="A8" t="s">
        <v>12</v>
      </c>
      <c r="B8" s="5">
        <v>286</v>
      </c>
      <c r="C8" s="5">
        <v>191</v>
      </c>
      <c r="D8" s="6" t="str">
        <f t="shared" si="0"/>
        <v>TRYM</v>
      </c>
    </row>
    <row r="9" spans="1:8" x14ac:dyDescent="0.3">
      <c r="A9" t="s">
        <v>18</v>
      </c>
      <c r="B9" s="5">
        <v>465</v>
      </c>
      <c r="C9" s="5">
        <v>389</v>
      </c>
      <c r="D9" s="6" t="str">
        <f t="shared" si="0"/>
        <v>TRYM</v>
      </c>
    </row>
    <row r="10" spans="1:8" x14ac:dyDescent="0.3">
      <c r="A10" t="s">
        <v>19</v>
      </c>
      <c r="B10" s="5">
        <v>349</v>
      </c>
      <c r="C10" s="5">
        <v>215</v>
      </c>
      <c r="D10" s="6" t="str">
        <f t="shared" si="0"/>
        <v>TRYM</v>
      </c>
    </row>
    <row r="11" spans="1:8" x14ac:dyDescent="0.3">
      <c r="A11" t="s">
        <v>20</v>
      </c>
      <c r="B11" s="5">
        <v>312</v>
      </c>
      <c r="C11" s="5">
        <v>306</v>
      </c>
      <c r="D11" s="6" t="str">
        <f t="shared" si="0"/>
        <v>TRYM</v>
      </c>
    </row>
    <row r="12" spans="1:8" x14ac:dyDescent="0.3">
      <c r="A12" t="s">
        <v>21</v>
      </c>
      <c r="B12" s="5">
        <v>449</v>
      </c>
      <c r="C12" s="5">
        <v>286</v>
      </c>
      <c r="D12" s="6" t="str">
        <f t="shared" si="0"/>
        <v>TRYM</v>
      </c>
    </row>
    <row r="13" spans="1:8" x14ac:dyDescent="0.3">
      <c r="A13" t="s">
        <v>25</v>
      </c>
      <c r="B13" s="5">
        <v>460</v>
      </c>
      <c r="C13" s="5">
        <v>424</v>
      </c>
      <c r="D13" s="6" t="str">
        <f t="shared" si="0"/>
        <v>TRYM</v>
      </c>
    </row>
    <row r="14" spans="1:8" x14ac:dyDescent="0.3">
      <c r="A14" t="s">
        <v>26</v>
      </c>
      <c r="B14" s="5">
        <v>353</v>
      </c>
      <c r="C14" s="5">
        <v>191</v>
      </c>
      <c r="D14" s="6" t="str">
        <f t="shared" si="0"/>
        <v>TRYM</v>
      </c>
    </row>
    <row r="15" spans="1:8" x14ac:dyDescent="0.3">
      <c r="A15" t="s">
        <v>27</v>
      </c>
      <c r="B15" s="5">
        <v>299</v>
      </c>
      <c r="C15" s="5">
        <v>416</v>
      </c>
      <c r="D15" s="6" t="str">
        <f t="shared" si="0"/>
        <v>NICOLAI</v>
      </c>
    </row>
    <row r="16" spans="1:8" x14ac:dyDescent="0.3">
      <c r="A16" t="s">
        <v>28</v>
      </c>
      <c r="B16" s="5">
        <v>468</v>
      </c>
      <c r="C16" s="5">
        <v>279</v>
      </c>
      <c r="D16" s="6" t="str">
        <f t="shared" si="0"/>
        <v>TRYM</v>
      </c>
    </row>
    <row r="17" spans="1:4" x14ac:dyDescent="0.3">
      <c r="A17" t="s">
        <v>29</v>
      </c>
      <c r="B17" s="5">
        <v>417</v>
      </c>
      <c r="C17" s="5">
        <v>357</v>
      </c>
      <c r="D17" s="6" t="str">
        <f t="shared" si="0"/>
        <v>TRYM</v>
      </c>
    </row>
    <row r="18" spans="1:4" x14ac:dyDescent="0.3">
      <c r="A18" t="s">
        <v>30</v>
      </c>
      <c r="B18" s="5">
        <v>276</v>
      </c>
      <c r="C18" s="5">
        <v>178</v>
      </c>
      <c r="D18" s="6" t="str">
        <f t="shared" si="0"/>
        <v>TRYM</v>
      </c>
    </row>
    <row r="19" spans="1:4" x14ac:dyDescent="0.3">
      <c r="A19" t="s">
        <v>31</v>
      </c>
      <c r="B19" s="5">
        <v>357</v>
      </c>
      <c r="C19" s="5">
        <v>252</v>
      </c>
      <c r="D19" s="6" t="str">
        <f t="shared" si="0"/>
        <v>TRYM</v>
      </c>
    </row>
    <row r="20" spans="1:4" x14ac:dyDescent="0.3">
      <c r="A20" t="s">
        <v>32</v>
      </c>
      <c r="B20" s="5">
        <v>298</v>
      </c>
      <c r="C20" s="5">
        <v>156</v>
      </c>
      <c r="D20" s="6" t="str">
        <f t="shared" si="0"/>
        <v>TRYM</v>
      </c>
    </row>
    <row r="21" spans="1:4" x14ac:dyDescent="0.3">
      <c r="A21" t="s">
        <v>33</v>
      </c>
      <c r="B21" s="5">
        <v>428</v>
      </c>
      <c r="C21" s="5">
        <v>381</v>
      </c>
      <c r="D21" s="6" t="str">
        <f t="shared" si="0"/>
        <v>TRYM</v>
      </c>
    </row>
    <row r="22" spans="1:4" x14ac:dyDescent="0.3">
      <c r="A22" t="s">
        <v>34</v>
      </c>
      <c r="B22" s="5">
        <v>281</v>
      </c>
      <c r="C22" s="5">
        <v>212</v>
      </c>
      <c r="D22" s="6" t="str">
        <f t="shared" si="0"/>
        <v>TRYM</v>
      </c>
    </row>
    <row r="23" spans="1:4" x14ac:dyDescent="0.3">
      <c r="A23" t="s">
        <v>35</v>
      </c>
      <c r="B23" s="5">
        <v>257</v>
      </c>
      <c r="C23" s="5">
        <v>277</v>
      </c>
      <c r="D23" s="6" t="str">
        <f t="shared" si="0"/>
        <v>NICOLAI</v>
      </c>
    </row>
    <row r="24" spans="1:4" x14ac:dyDescent="0.3">
      <c r="A24" t="s">
        <v>36</v>
      </c>
      <c r="B24" s="5">
        <v>288</v>
      </c>
      <c r="C24" s="5">
        <v>115</v>
      </c>
      <c r="D24" s="6" t="str">
        <f t="shared" si="0"/>
        <v>TRYM</v>
      </c>
    </row>
    <row r="25" spans="1:4" x14ac:dyDescent="0.3">
      <c r="A25" t="s">
        <v>37</v>
      </c>
      <c r="B25" s="5">
        <v>273</v>
      </c>
      <c r="C25" s="5">
        <v>227</v>
      </c>
      <c r="D25" s="6" t="str">
        <f t="shared" si="0"/>
        <v>TRYM</v>
      </c>
    </row>
    <row r="26" spans="1:4" x14ac:dyDescent="0.3">
      <c r="A26" t="s">
        <v>38</v>
      </c>
      <c r="B26" s="5">
        <v>447</v>
      </c>
      <c r="C26" s="5">
        <v>190</v>
      </c>
      <c r="D26" s="6" t="str">
        <f t="shared" si="0"/>
        <v>TRYM</v>
      </c>
    </row>
    <row r="27" spans="1:4" x14ac:dyDescent="0.3">
      <c r="A27" t="s">
        <v>39</v>
      </c>
      <c r="B27" s="5">
        <v>369</v>
      </c>
      <c r="C27" s="5">
        <v>251</v>
      </c>
      <c r="D27" s="6" t="str">
        <f t="shared" si="0"/>
        <v>TRYM</v>
      </c>
    </row>
    <row r="28" spans="1:4" x14ac:dyDescent="0.3">
      <c r="A28" t="s">
        <v>40</v>
      </c>
      <c r="B28" s="5">
        <v>285</v>
      </c>
      <c r="C28" s="5">
        <v>307</v>
      </c>
      <c r="D28" s="6" t="str">
        <f t="shared" si="0"/>
        <v>NICOLAI</v>
      </c>
    </row>
    <row r="29" spans="1:4" x14ac:dyDescent="0.3">
      <c r="A29" t="s">
        <v>41</v>
      </c>
      <c r="B29" s="5">
        <v>253</v>
      </c>
      <c r="C29" s="5">
        <v>106</v>
      </c>
      <c r="D29" s="6" t="str">
        <f t="shared" si="0"/>
        <v>TRYM</v>
      </c>
    </row>
    <row r="30" spans="1:4" x14ac:dyDescent="0.3">
      <c r="A30" t="s">
        <v>42</v>
      </c>
      <c r="B30" s="5">
        <v>405</v>
      </c>
      <c r="C30" s="5">
        <v>500</v>
      </c>
      <c r="D30" s="6" t="str">
        <f t="shared" ref="D30:D86" si="1">IF(B30&gt;C30,"TRYM","NICOLAI")</f>
        <v>NICOLAI</v>
      </c>
    </row>
    <row r="31" spans="1:4" x14ac:dyDescent="0.3">
      <c r="A31" t="s">
        <v>43</v>
      </c>
      <c r="B31" s="5">
        <v>354</v>
      </c>
      <c r="C31" s="5">
        <v>383</v>
      </c>
      <c r="D31" s="6" t="str">
        <f t="shared" si="1"/>
        <v>NICOLAI</v>
      </c>
    </row>
    <row r="32" spans="1:4" x14ac:dyDescent="0.3">
      <c r="A32" t="s">
        <v>44</v>
      </c>
      <c r="B32" s="5">
        <v>247</v>
      </c>
      <c r="C32" s="5">
        <v>172</v>
      </c>
      <c r="D32" s="6" t="str">
        <f t="shared" si="1"/>
        <v>TRYM</v>
      </c>
    </row>
    <row r="33" spans="1:4" x14ac:dyDescent="0.3">
      <c r="A33" t="s">
        <v>45</v>
      </c>
      <c r="B33" s="5">
        <v>387</v>
      </c>
      <c r="C33" s="5">
        <v>316</v>
      </c>
      <c r="D33" s="6" t="str">
        <f t="shared" si="1"/>
        <v>TRYM</v>
      </c>
    </row>
    <row r="34" spans="1:4" x14ac:dyDescent="0.3">
      <c r="A34" t="s">
        <v>46</v>
      </c>
      <c r="B34" s="5">
        <v>342</v>
      </c>
      <c r="C34" s="5">
        <v>240</v>
      </c>
      <c r="D34" s="6" t="str">
        <f t="shared" si="1"/>
        <v>TRYM</v>
      </c>
    </row>
    <row r="35" spans="1:4" x14ac:dyDescent="0.3">
      <c r="A35" t="s">
        <v>47</v>
      </c>
      <c r="B35" s="5">
        <v>276</v>
      </c>
      <c r="C35" s="5">
        <v>173</v>
      </c>
      <c r="D35" s="6" t="str">
        <f t="shared" si="1"/>
        <v>TRYM</v>
      </c>
    </row>
    <row r="36" spans="1:4" x14ac:dyDescent="0.3">
      <c r="A36" t="s">
        <v>48</v>
      </c>
      <c r="B36" s="5">
        <v>292</v>
      </c>
      <c r="C36" s="5">
        <v>267</v>
      </c>
      <c r="D36" s="6" t="str">
        <f t="shared" si="1"/>
        <v>TRYM</v>
      </c>
    </row>
    <row r="37" spans="1:4" x14ac:dyDescent="0.3">
      <c r="A37" t="s">
        <v>49</v>
      </c>
      <c r="B37" s="5">
        <v>500</v>
      </c>
      <c r="C37" s="5">
        <v>346</v>
      </c>
      <c r="D37" s="6" t="str">
        <f t="shared" si="1"/>
        <v>TRYM</v>
      </c>
    </row>
    <row r="38" spans="1:4" x14ac:dyDescent="0.3">
      <c r="A38" t="s">
        <v>50</v>
      </c>
      <c r="B38" s="5">
        <v>366</v>
      </c>
      <c r="C38" s="5">
        <v>246</v>
      </c>
      <c r="D38" s="6" t="str">
        <f t="shared" si="1"/>
        <v>TRYM</v>
      </c>
    </row>
    <row r="39" spans="1:4" x14ac:dyDescent="0.3">
      <c r="A39" t="s">
        <v>51</v>
      </c>
      <c r="B39" s="5">
        <v>349</v>
      </c>
      <c r="C39" s="5">
        <v>333</v>
      </c>
      <c r="D39" s="6" t="str">
        <f t="shared" si="1"/>
        <v>TRYM</v>
      </c>
    </row>
    <row r="40" spans="1:4" x14ac:dyDescent="0.3">
      <c r="A40" t="s">
        <v>52</v>
      </c>
      <c r="B40" s="5">
        <v>290</v>
      </c>
      <c r="C40" s="5">
        <v>374</v>
      </c>
      <c r="D40" s="6" t="str">
        <f t="shared" si="1"/>
        <v>NICOLAI</v>
      </c>
    </row>
    <row r="41" spans="1:4" x14ac:dyDescent="0.3">
      <c r="A41" t="s">
        <v>53</v>
      </c>
      <c r="B41" s="5">
        <v>424</v>
      </c>
      <c r="C41" s="5">
        <v>300</v>
      </c>
      <c r="D41" s="6" t="str">
        <f t="shared" si="1"/>
        <v>TRYM</v>
      </c>
    </row>
    <row r="42" spans="1:4" x14ac:dyDescent="0.3">
      <c r="A42" t="s">
        <v>54</v>
      </c>
      <c r="B42" s="5">
        <v>257</v>
      </c>
      <c r="C42" s="5">
        <v>173</v>
      </c>
      <c r="D42" s="6" t="str">
        <f t="shared" si="1"/>
        <v>TRYM</v>
      </c>
    </row>
    <row r="43" spans="1:4" x14ac:dyDescent="0.3">
      <c r="A43" t="s">
        <v>55</v>
      </c>
      <c r="B43" s="5">
        <v>402</v>
      </c>
      <c r="C43" s="5">
        <v>338</v>
      </c>
      <c r="D43" s="6" t="str">
        <f t="shared" si="1"/>
        <v>TRYM</v>
      </c>
    </row>
    <row r="44" spans="1:4" x14ac:dyDescent="0.3">
      <c r="A44" t="s">
        <v>56</v>
      </c>
      <c r="B44" s="5">
        <v>150</v>
      </c>
      <c r="C44" s="5">
        <v>145</v>
      </c>
      <c r="D44" s="6" t="str">
        <f t="shared" si="1"/>
        <v>TRYM</v>
      </c>
    </row>
    <row r="45" spans="1:4" x14ac:dyDescent="0.3">
      <c r="A45" t="s">
        <v>60</v>
      </c>
      <c r="B45" s="5">
        <v>305</v>
      </c>
      <c r="C45" s="5">
        <v>305</v>
      </c>
      <c r="D45" s="6" t="s">
        <v>57</v>
      </c>
    </row>
    <row r="46" spans="1:4" x14ac:dyDescent="0.3">
      <c r="A46" t="s">
        <v>59</v>
      </c>
      <c r="B46" s="5">
        <v>500</v>
      </c>
      <c r="C46" s="5">
        <v>474</v>
      </c>
      <c r="D46" s="6" t="str">
        <f t="shared" si="1"/>
        <v>TRYM</v>
      </c>
    </row>
    <row r="47" spans="1:4" x14ac:dyDescent="0.3">
      <c r="A47" t="s">
        <v>58</v>
      </c>
      <c r="B47" s="5">
        <v>372</v>
      </c>
      <c r="C47" s="5">
        <v>191</v>
      </c>
      <c r="D47" s="6" t="str">
        <f t="shared" si="1"/>
        <v>TRYM</v>
      </c>
    </row>
    <row r="48" spans="1:4" x14ac:dyDescent="0.3">
      <c r="A48" t="s">
        <v>61</v>
      </c>
      <c r="B48" s="5">
        <v>365</v>
      </c>
      <c r="C48" s="5">
        <v>273</v>
      </c>
      <c r="D48" s="6" t="str">
        <f t="shared" si="1"/>
        <v>TRYM</v>
      </c>
    </row>
    <row r="49" spans="1:4" x14ac:dyDescent="0.3">
      <c r="A49" t="s">
        <v>62</v>
      </c>
      <c r="B49" s="5">
        <v>341</v>
      </c>
      <c r="C49" s="5">
        <v>182</v>
      </c>
      <c r="D49" s="6" t="str">
        <f t="shared" si="1"/>
        <v>TRYM</v>
      </c>
    </row>
    <row r="50" spans="1:4" x14ac:dyDescent="0.3">
      <c r="A50" t="s">
        <v>63</v>
      </c>
      <c r="B50" s="5">
        <v>372</v>
      </c>
      <c r="C50" s="5">
        <v>254</v>
      </c>
      <c r="D50" s="6" t="str">
        <f t="shared" si="1"/>
        <v>TRYM</v>
      </c>
    </row>
    <row r="51" spans="1:4" x14ac:dyDescent="0.3">
      <c r="A51" t="s">
        <v>64</v>
      </c>
      <c r="B51" s="5">
        <v>234</v>
      </c>
      <c r="C51" s="5">
        <v>245</v>
      </c>
      <c r="D51" s="6" t="str">
        <f t="shared" si="1"/>
        <v>NICOLAI</v>
      </c>
    </row>
    <row r="52" spans="1:4" x14ac:dyDescent="0.3">
      <c r="A52" t="s">
        <v>65</v>
      </c>
      <c r="B52" s="5">
        <v>406</v>
      </c>
      <c r="C52" s="5">
        <v>333</v>
      </c>
      <c r="D52" s="6" t="str">
        <f t="shared" si="1"/>
        <v>TRYM</v>
      </c>
    </row>
    <row r="53" spans="1:4" x14ac:dyDescent="0.3">
      <c r="A53" t="s">
        <v>66</v>
      </c>
      <c r="B53" s="5">
        <v>500</v>
      </c>
      <c r="C53" s="5">
        <v>304</v>
      </c>
      <c r="D53" s="6" t="str">
        <f t="shared" si="1"/>
        <v>TRYM</v>
      </c>
    </row>
    <row r="54" spans="1:4" x14ac:dyDescent="0.3">
      <c r="A54" t="s">
        <v>67</v>
      </c>
      <c r="B54" s="5">
        <v>365</v>
      </c>
      <c r="C54" s="5">
        <v>232</v>
      </c>
      <c r="D54" s="6" t="str">
        <f t="shared" si="1"/>
        <v>TRYM</v>
      </c>
    </row>
    <row r="55" spans="1:4" x14ac:dyDescent="0.3">
      <c r="A55" t="s">
        <v>68</v>
      </c>
      <c r="B55" s="5">
        <v>432</v>
      </c>
      <c r="C55" s="5">
        <v>355</v>
      </c>
      <c r="D55" s="6" t="str">
        <f t="shared" si="1"/>
        <v>TRYM</v>
      </c>
    </row>
    <row r="56" spans="1:4" x14ac:dyDescent="0.3">
      <c r="A56" t="s">
        <v>69</v>
      </c>
      <c r="B56" s="5">
        <v>398</v>
      </c>
      <c r="C56" s="5">
        <v>306</v>
      </c>
      <c r="D56" s="6" t="str">
        <f t="shared" si="1"/>
        <v>TRYM</v>
      </c>
    </row>
    <row r="57" spans="1:4" x14ac:dyDescent="0.3">
      <c r="A57" t="s">
        <v>70</v>
      </c>
      <c r="B57" s="5">
        <v>254</v>
      </c>
      <c r="C57" s="5">
        <v>129</v>
      </c>
      <c r="D57" s="6" t="str">
        <f t="shared" si="1"/>
        <v>TRYM</v>
      </c>
    </row>
    <row r="58" spans="1:4" x14ac:dyDescent="0.3">
      <c r="A58" t="s">
        <v>71</v>
      </c>
      <c r="B58" s="5">
        <v>491</v>
      </c>
      <c r="C58" s="5">
        <v>376</v>
      </c>
      <c r="D58" s="6" t="str">
        <f t="shared" si="1"/>
        <v>TRYM</v>
      </c>
    </row>
    <row r="59" spans="1:4" x14ac:dyDescent="0.3">
      <c r="A59" t="s">
        <v>73</v>
      </c>
      <c r="B59" s="5">
        <v>348</v>
      </c>
      <c r="C59" s="5">
        <v>369</v>
      </c>
      <c r="D59" s="6" t="str">
        <f t="shared" si="1"/>
        <v>NICOLAI</v>
      </c>
    </row>
    <row r="60" spans="1:4" x14ac:dyDescent="0.3">
      <c r="A60" t="s">
        <v>72</v>
      </c>
      <c r="B60" s="5">
        <v>500</v>
      </c>
      <c r="C60" s="5">
        <v>424</v>
      </c>
      <c r="D60" s="6" t="str">
        <f t="shared" si="1"/>
        <v>TRYM</v>
      </c>
    </row>
    <row r="61" spans="1:4" x14ac:dyDescent="0.3">
      <c r="A61" t="s">
        <v>74</v>
      </c>
      <c r="B61" s="5">
        <v>276</v>
      </c>
      <c r="C61" s="5">
        <v>203</v>
      </c>
      <c r="D61" s="6" t="str">
        <f t="shared" si="1"/>
        <v>TRYM</v>
      </c>
    </row>
    <row r="62" spans="1:4" x14ac:dyDescent="0.3">
      <c r="A62" t="s">
        <v>75</v>
      </c>
      <c r="B62" s="5">
        <v>297</v>
      </c>
      <c r="C62" s="5">
        <v>165</v>
      </c>
      <c r="D62" s="6" t="str">
        <f t="shared" si="1"/>
        <v>TRYM</v>
      </c>
    </row>
    <row r="63" spans="1:4" x14ac:dyDescent="0.3">
      <c r="A63" t="s">
        <v>76</v>
      </c>
      <c r="B63" s="5">
        <v>185</v>
      </c>
      <c r="C63" s="5">
        <v>131</v>
      </c>
      <c r="D63" s="6" t="str">
        <f t="shared" si="1"/>
        <v>TRYM</v>
      </c>
    </row>
    <row r="64" spans="1:4" x14ac:dyDescent="0.3">
      <c r="A64" t="s">
        <v>77</v>
      </c>
      <c r="B64" s="5">
        <v>373</v>
      </c>
      <c r="C64" s="5">
        <v>276</v>
      </c>
      <c r="D64" s="6" t="str">
        <f t="shared" si="1"/>
        <v>TRYM</v>
      </c>
    </row>
    <row r="65" spans="1:4" x14ac:dyDescent="0.3">
      <c r="A65" t="s">
        <v>78</v>
      </c>
      <c r="B65" s="5">
        <v>381</v>
      </c>
      <c r="C65" s="5">
        <v>422</v>
      </c>
      <c r="D65" s="6" t="str">
        <f t="shared" si="1"/>
        <v>NICOLAI</v>
      </c>
    </row>
    <row r="66" spans="1:4" x14ac:dyDescent="0.3">
      <c r="A66" t="s">
        <v>79</v>
      </c>
      <c r="B66" s="5">
        <v>323</v>
      </c>
      <c r="C66" s="5">
        <v>89</v>
      </c>
      <c r="D66" s="6" t="str">
        <f t="shared" si="1"/>
        <v>TRYM</v>
      </c>
    </row>
    <row r="67" spans="1:4" x14ac:dyDescent="0.3">
      <c r="A67" t="s">
        <v>80</v>
      </c>
      <c r="B67" s="5">
        <v>281</v>
      </c>
      <c r="C67" s="5">
        <v>443</v>
      </c>
      <c r="D67" s="6" t="str">
        <f t="shared" si="1"/>
        <v>NICOLAI</v>
      </c>
    </row>
    <row r="68" spans="1:4" x14ac:dyDescent="0.3">
      <c r="A68" t="s">
        <v>81</v>
      </c>
      <c r="B68" s="5">
        <v>449</v>
      </c>
      <c r="C68" s="5">
        <v>318</v>
      </c>
      <c r="D68" s="6" t="str">
        <f t="shared" si="1"/>
        <v>TRYM</v>
      </c>
    </row>
    <row r="69" spans="1:4" x14ac:dyDescent="0.3">
      <c r="A69" t="s">
        <v>82</v>
      </c>
      <c r="B69" s="5">
        <v>467</v>
      </c>
      <c r="C69" s="5">
        <v>358</v>
      </c>
      <c r="D69" s="6" t="str">
        <f t="shared" si="1"/>
        <v>TRYM</v>
      </c>
    </row>
    <row r="70" spans="1:4" x14ac:dyDescent="0.3">
      <c r="A70" t="s">
        <v>83</v>
      </c>
      <c r="B70" s="5">
        <v>345</v>
      </c>
      <c r="C70" s="5">
        <v>314</v>
      </c>
      <c r="D70" s="6" t="str">
        <f t="shared" si="1"/>
        <v>TRYM</v>
      </c>
    </row>
    <row r="71" spans="1:4" x14ac:dyDescent="0.3">
      <c r="A71" t="s">
        <v>84</v>
      </c>
      <c r="B71" s="5">
        <v>390</v>
      </c>
      <c r="C71" s="5">
        <v>245</v>
      </c>
      <c r="D71" s="6" t="str">
        <f t="shared" si="1"/>
        <v>TRYM</v>
      </c>
    </row>
    <row r="72" spans="1:4" x14ac:dyDescent="0.3">
      <c r="A72" t="s">
        <v>85</v>
      </c>
      <c r="B72" s="5">
        <v>403</v>
      </c>
      <c r="C72" s="5">
        <v>292</v>
      </c>
      <c r="D72" s="6" t="str">
        <f t="shared" si="1"/>
        <v>TRYM</v>
      </c>
    </row>
    <row r="73" spans="1:4" ht="13.8" customHeight="1" x14ac:dyDescent="0.3">
      <c r="A73" t="s">
        <v>86</v>
      </c>
      <c r="B73" s="5">
        <v>496</v>
      </c>
      <c r="C73" s="5">
        <v>370</v>
      </c>
      <c r="D73" s="6" t="str">
        <f t="shared" si="1"/>
        <v>TRYM</v>
      </c>
    </row>
    <row r="74" spans="1:4" ht="13.8" customHeight="1" x14ac:dyDescent="0.3">
      <c r="A74" t="s">
        <v>87</v>
      </c>
      <c r="B74" s="5">
        <v>326</v>
      </c>
      <c r="C74" s="5">
        <v>398</v>
      </c>
      <c r="D74" s="6" t="str">
        <f t="shared" si="1"/>
        <v>NICOLAI</v>
      </c>
    </row>
    <row r="75" spans="1:4" ht="13.8" customHeight="1" x14ac:dyDescent="0.3">
      <c r="A75" t="s">
        <v>88</v>
      </c>
      <c r="B75" s="5">
        <v>303</v>
      </c>
      <c r="C75" s="5">
        <v>254</v>
      </c>
      <c r="D75" s="6" t="str">
        <f t="shared" si="1"/>
        <v>TRYM</v>
      </c>
    </row>
    <row r="76" spans="1:4" ht="13.8" customHeight="1" x14ac:dyDescent="0.3">
      <c r="A76" t="s">
        <v>89</v>
      </c>
      <c r="B76" s="5">
        <v>323</v>
      </c>
      <c r="C76" s="5">
        <v>348</v>
      </c>
      <c r="D76" s="6" t="str">
        <f t="shared" si="1"/>
        <v>NICOLAI</v>
      </c>
    </row>
    <row r="77" spans="1:4" ht="13.8" customHeight="1" x14ac:dyDescent="0.3">
      <c r="A77" t="s">
        <v>90</v>
      </c>
      <c r="B77" s="5">
        <v>368</v>
      </c>
      <c r="C77" s="5">
        <v>304</v>
      </c>
      <c r="D77" s="6" t="str">
        <f t="shared" si="1"/>
        <v>TRYM</v>
      </c>
    </row>
    <row r="78" spans="1:4" ht="13.8" customHeight="1" x14ac:dyDescent="0.3">
      <c r="A78" t="s">
        <v>91</v>
      </c>
      <c r="B78" s="5">
        <v>460</v>
      </c>
      <c r="C78" s="5">
        <v>251</v>
      </c>
      <c r="D78" s="6" t="str">
        <f t="shared" si="1"/>
        <v>TRYM</v>
      </c>
    </row>
    <row r="79" spans="1:4" ht="13.8" customHeight="1" x14ac:dyDescent="0.3">
      <c r="A79" t="s">
        <v>92</v>
      </c>
      <c r="B79" s="5">
        <v>350</v>
      </c>
      <c r="C79" s="5">
        <v>167</v>
      </c>
      <c r="D79" s="6" t="str">
        <f t="shared" si="1"/>
        <v>TRYM</v>
      </c>
    </row>
    <row r="80" spans="1:4" ht="13.8" customHeight="1" x14ac:dyDescent="0.3">
      <c r="A80" t="s">
        <v>93</v>
      </c>
      <c r="B80" s="5">
        <v>347</v>
      </c>
      <c r="C80" s="5">
        <v>147</v>
      </c>
      <c r="D80" s="6" t="str">
        <f t="shared" si="1"/>
        <v>TRYM</v>
      </c>
    </row>
    <row r="81" spans="1:4" ht="13.8" customHeight="1" x14ac:dyDescent="0.3">
      <c r="A81" t="s">
        <v>94</v>
      </c>
      <c r="B81" s="5">
        <v>380</v>
      </c>
      <c r="C81" s="5">
        <v>340</v>
      </c>
      <c r="D81" s="6" t="str">
        <f t="shared" si="1"/>
        <v>TRYM</v>
      </c>
    </row>
    <row r="82" spans="1:4" ht="13.8" customHeight="1" x14ac:dyDescent="0.3">
      <c r="A82" t="s">
        <v>95</v>
      </c>
      <c r="B82" s="5">
        <v>365</v>
      </c>
      <c r="C82" s="5">
        <v>399</v>
      </c>
      <c r="D82" s="6" t="str">
        <f t="shared" si="1"/>
        <v>NICOLAI</v>
      </c>
    </row>
    <row r="83" spans="1:4" ht="13.8" customHeight="1" x14ac:dyDescent="0.3">
      <c r="A83" t="s">
        <v>96</v>
      </c>
      <c r="B83" s="5">
        <v>482</v>
      </c>
      <c r="C83" s="5">
        <v>353</v>
      </c>
      <c r="D83" s="6" t="str">
        <f t="shared" si="1"/>
        <v>TRYM</v>
      </c>
    </row>
    <row r="84" spans="1:4" ht="13.8" customHeight="1" x14ac:dyDescent="0.3">
      <c r="A84" t="s">
        <v>99</v>
      </c>
      <c r="B84" s="5">
        <v>283</v>
      </c>
      <c r="C84" s="5">
        <v>242</v>
      </c>
      <c r="D84" s="6" t="str">
        <f t="shared" si="1"/>
        <v>TRYM</v>
      </c>
    </row>
    <row r="85" spans="1:4" ht="13.8" customHeight="1" x14ac:dyDescent="0.3">
      <c r="A85" t="s">
        <v>101</v>
      </c>
      <c r="B85" s="5">
        <v>272</v>
      </c>
      <c r="C85" s="5">
        <v>178</v>
      </c>
      <c r="D85" s="6" t="str">
        <f t="shared" si="1"/>
        <v>TRYM</v>
      </c>
    </row>
    <row r="86" spans="1:4" ht="13.8" customHeight="1" x14ac:dyDescent="0.3">
      <c r="A86" t="s">
        <v>100</v>
      </c>
      <c r="B86" s="5">
        <v>346</v>
      </c>
      <c r="C86" s="5">
        <v>158</v>
      </c>
      <c r="D86" s="6" t="str">
        <f t="shared" si="1"/>
        <v>TRYM</v>
      </c>
    </row>
    <row r="87" spans="1:4" ht="13.8" customHeight="1" x14ac:dyDescent="0.3">
      <c r="B87" s="5"/>
      <c r="C87" s="5"/>
      <c r="D87" s="6"/>
    </row>
    <row r="88" spans="1:4" ht="13.8" customHeight="1" x14ac:dyDescent="0.3">
      <c r="B88" s="5"/>
      <c r="C88" s="5"/>
      <c r="D88" s="6"/>
    </row>
    <row r="89" spans="1:4" ht="13.8" customHeight="1" x14ac:dyDescent="0.3">
      <c r="B89" s="5"/>
      <c r="C89" s="5"/>
      <c r="D89" s="6"/>
    </row>
    <row r="90" spans="1:4" ht="13.8" customHeight="1" x14ac:dyDescent="0.3">
      <c r="B90" s="5"/>
      <c r="C90" s="5"/>
      <c r="D90" s="6"/>
    </row>
    <row r="91" spans="1:4" ht="13.8" customHeight="1" x14ac:dyDescent="0.3">
      <c r="B91" s="5"/>
      <c r="C91" s="5"/>
      <c r="D91" s="6"/>
    </row>
    <row r="92" spans="1:4" ht="13.8" customHeight="1" x14ac:dyDescent="0.3">
      <c r="B92" s="5"/>
      <c r="C92" s="5"/>
      <c r="D92" s="6"/>
    </row>
    <row r="93" spans="1:4" ht="13.8" customHeight="1" x14ac:dyDescent="0.3">
      <c r="B93" s="5"/>
      <c r="C93" s="5"/>
      <c r="D93" s="6"/>
    </row>
    <row r="94" spans="1:4" ht="13.8" customHeight="1" x14ac:dyDescent="0.3">
      <c r="B94" s="5"/>
      <c r="C94" s="5"/>
      <c r="D94" s="6"/>
    </row>
    <row r="95" spans="1:4" ht="13.8" customHeight="1" x14ac:dyDescent="0.3">
      <c r="B95" s="5"/>
      <c r="C95" s="5"/>
      <c r="D95" s="6"/>
    </row>
    <row r="96" spans="1:4" x14ac:dyDescent="0.3">
      <c r="B96" s="5"/>
      <c r="C96" s="5"/>
      <c r="D96" s="6"/>
    </row>
    <row r="97" spans="1:14" x14ac:dyDescent="0.3">
      <c r="B97" s="5"/>
      <c r="C97" s="5"/>
      <c r="D97" s="6"/>
    </row>
    <row r="98" spans="1:14" x14ac:dyDescent="0.3">
      <c r="B98" s="5"/>
      <c r="C98" s="5"/>
      <c r="D98" s="6"/>
    </row>
    <row r="99" spans="1:14" x14ac:dyDescent="0.3">
      <c r="B99" s="3"/>
      <c r="C99" s="3"/>
      <c r="D99" s="3"/>
    </row>
    <row r="100" spans="1:14" x14ac:dyDescent="0.3">
      <c r="A100" s="2" t="s">
        <v>4</v>
      </c>
      <c r="B100" s="8">
        <f>SUM(B4:B98)</f>
        <v>29553</v>
      </c>
      <c r="C100" s="8">
        <f>SUM(C4:C98)</f>
        <v>23208</v>
      </c>
    </row>
    <row r="101" spans="1:14" ht="13.8" customHeight="1" x14ac:dyDescent="0.3"/>
    <row r="102" spans="1:14" ht="43.2" customHeight="1" x14ac:dyDescent="0.3">
      <c r="A102" s="11"/>
      <c r="B102" s="12" t="s">
        <v>16</v>
      </c>
      <c r="C102" s="12" t="s">
        <v>23</v>
      </c>
      <c r="D102" s="12" t="s">
        <v>13</v>
      </c>
      <c r="E102" s="13" t="s">
        <v>17</v>
      </c>
      <c r="F102" s="12" t="s">
        <v>14</v>
      </c>
      <c r="G102" s="18" t="s">
        <v>24</v>
      </c>
      <c r="H102" s="12" t="s">
        <v>15</v>
      </c>
      <c r="I102" s="18" t="s">
        <v>24</v>
      </c>
      <c r="L102" s="28" t="s">
        <v>98</v>
      </c>
      <c r="M102" s="31" t="s">
        <v>97</v>
      </c>
      <c r="N102" s="31"/>
    </row>
    <row r="103" spans="1:14" x14ac:dyDescent="0.3">
      <c r="A103" s="14" t="s">
        <v>5</v>
      </c>
      <c r="B103" s="3">
        <f>COUNTIF(D4:D98,"NICOLAI")</f>
        <v>15</v>
      </c>
      <c r="C103" s="16">
        <f>B103/H3</f>
        <v>0.18072289156626506</v>
      </c>
      <c r="D103" s="15">
        <f>AVERAGE(B4:B98)</f>
        <v>356.06024096385545</v>
      </c>
      <c r="E103" s="15">
        <f>MEDIAN(B4:B98)</f>
        <v>353</v>
      </c>
      <c r="F103" s="3">
        <f>MAX(B4:B98)</f>
        <v>500</v>
      </c>
      <c r="G103" s="19" t="str">
        <f>_xlfn.XLOOKUP(F103,B4:B98,A4:A98)</f>
        <v>07.01</v>
      </c>
      <c r="H103" s="3">
        <f>MIN(B4:B98)</f>
        <v>150</v>
      </c>
      <c r="I103" s="19" t="str">
        <f>_xlfn.XLOOKUP(H103,B4:B98,A4:A98)</f>
        <v>27.02</v>
      </c>
      <c r="L103" s="27">
        <v>345.13461538461536</v>
      </c>
      <c r="M103" s="26" t="str">
        <f>IF(N103&gt;0,"+","")</f>
        <v>+</v>
      </c>
      <c r="N103" s="29">
        <f>(D103-L103)/L103</f>
        <v>3.1656128050397546E-2</v>
      </c>
    </row>
    <row r="104" spans="1:14" x14ac:dyDescent="0.3">
      <c r="A104" s="14" t="s">
        <v>6</v>
      </c>
      <c r="B104" s="3">
        <f>COUNTIF(D4:D98,"TRYM")</f>
        <v>67</v>
      </c>
      <c r="C104" s="16">
        <f>B104/$H$3</f>
        <v>0.80722891566265065</v>
      </c>
      <c r="D104" s="15">
        <f>AVERAGE(C4:C98)</f>
        <v>279.6144578313253</v>
      </c>
      <c r="E104" s="3">
        <f>MEDIAN(C4:C98)</f>
        <v>277</v>
      </c>
      <c r="F104" s="3">
        <f>MAX(C4:C98)</f>
        <v>500</v>
      </c>
      <c r="G104" s="19" t="str">
        <f>_xlfn.XLOOKUP(F104,C4:C98,A4:A98)</f>
        <v>09.02</v>
      </c>
      <c r="H104" s="3">
        <f>MIN(C4:C98)</f>
        <v>89</v>
      </c>
      <c r="I104" s="19" t="str">
        <f>_xlfn.XLOOKUP(H104,C4:C98,A4:A98)</f>
        <v>31.03</v>
      </c>
      <c r="L104" s="27">
        <v>271.28846153846155</v>
      </c>
      <c r="M104" s="26" t="str">
        <f>IF(N104&gt;0,"+","")</f>
        <v>+</v>
      </c>
      <c r="N104" s="29">
        <f>(D104-L104)/L104</f>
        <v>3.0690565480181113E-2</v>
      </c>
    </row>
    <row r="105" spans="1:14" x14ac:dyDescent="0.3">
      <c r="A105" s="21" t="s">
        <v>57</v>
      </c>
      <c r="B105" s="22">
        <f>COUNTIF(D4:D98,"U")</f>
        <v>1</v>
      </c>
      <c r="C105" s="23">
        <f>B105/$H$3</f>
        <v>1.2048192771084338E-2</v>
      </c>
      <c r="D105" s="24"/>
      <c r="E105" s="24"/>
      <c r="F105" s="24"/>
      <c r="G105" s="25" t="str">
        <f>_xlfn.XLOOKUP(A105,D4:D57,A4:A57)</f>
        <v>02.03</v>
      </c>
      <c r="H105" s="24"/>
      <c r="I105" s="24"/>
    </row>
  </sheetData>
  <mergeCells count="2">
    <mergeCell ref="B2:C2"/>
    <mergeCell ref="M102:N102"/>
  </mergeCells>
  <conditionalFormatting sqref="M103">
    <cfRule type="cellIs" dxfId="5" priority="5" operator="equal">
      <formula>"-"</formula>
    </cfRule>
    <cfRule type="cellIs" dxfId="4" priority="6" operator="equal">
      <formula>"+"</formula>
    </cfRule>
  </conditionalFormatting>
  <conditionalFormatting sqref="N103:N10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C4D24B3-61ED-4222-8AA7-0619D8145407}">
            <xm:f>NOT(ISERROR(SEARCH("-",M104)))</xm:f>
            <xm:f>"-"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" operator="containsText" id="{CE2079A6-5D4C-450A-9D42-F0D30E19CF19}">
            <xm:f>NOT(ISERROR(SEARCH("+",M104)))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M104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Trym Sigurdsen</dc:creator>
  <cp:lastModifiedBy>Trym Sigurdsen</cp:lastModifiedBy>
  <dcterms:created xsi:type="dcterms:W3CDTF">2026-01-05T07:46:59Z</dcterms:created>
  <dcterms:modified xsi:type="dcterms:W3CDTF">2026-05-04T19:04:38Z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821336-263d-4940-a74c-ab7373b99eed_Enabled">
    <vt:lpwstr>true</vt:lpwstr>
  </property>
  <property fmtid="{D5CDD505-2E9C-101B-9397-08002B2CF9AE}" pid="3" name="MSIP_Label_50821336-263d-4940-a74c-ab7373b99eed_SetDate">
    <vt:lpwstr>2026-01-05T07:47:18Z</vt:lpwstr>
  </property>
  <property fmtid="{D5CDD505-2E9C-101B-9397-08002B2CF9AE}" pid="4" name="MSIP_Label_50821336-263d-4940-a74c-ab7373b99eed_Method">
    <vt:lpwstr>Standard</vt:lpwstr>
  </property>
  <property fmtid="{D5CDD505-2E9C-101B-9397-08002B2CF9AE}" pid="5" name="MSIP_Label_50821336-263d-4940-a74c-ab7373b99eed_Name">
    <vt:lpwstr>Internal</vt:lpwstr>
  </property>
  <property fmtid="{D5CDD505-2E9C-101B-9397-08002B2CF9AE}" pid="6" name="MSIP_Label_50821336-263d-4940-a74c-ab7373b99eed_SiteId">
    <vt:lpwstr>6735929c-9dbf-473b-9fc6-5fbdcd2c9fc4</vt:lpwstr>
  </property>
  <property fmtid="{D5CDD505-2E9C-101B-9397-08002B2CF9AE}" pid="7" name="MSIP_Label_50821336-263d-4940-a74c-ab7373b99eed_ActionId">
    <vt:lpwstr>3b2333de-2387-466a-92bb-bf9e6d85bdc2</vt:lpwstr>
  </property>
  <property fmtid="{D5CDD505-2E9C-101B-9397-08002B2CF9AE}" pid="8" name="MSIP_Label_50821336-263d-4940-a74c-ab7373b99eed_ContentBits">
    <vt:lpwstr>0</vt:lpwstr>
  </property>
  <property fmtid="{D5CDD505-2E9C-101B-9397-08002B2CF9AE}" pid="9" name="MSIP_Label_50821336-263d-4940-a74c-ab7373b99eed_Tag">
    <vt:lpwstr>10, 3, 0, 1</vt:lpwstr>
  </property>
</Properties>
</file>